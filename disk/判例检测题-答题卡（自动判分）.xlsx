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答题卡" sheetId="1" state="visible" r:id="rId1"/>
    <sheet xmlns:r="http://schemas.openxmlformats.org/officeDocument/2006/relationships" name="答案" sheetId="2" state="visible" r:id="rId2"/>
    <sheet xmlns:r="http://schemas.openxmlformats.org/officeDocument/2006/relationships" name="评分" sheetId="3" state="visible" r:id="rId3"/>
  </sheets>
  <definedNames>
    <definedName name="_xlnm.Print_Area" localSheetId="0">'答题卡'!$A$1:$E$70</definedName>
    <definedName name="_xlnm.Print_Area" localSheetId="1">'答案'!$A$1:$C$63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sz val="10"/>
    </font>
    <font>
      <name val="微软雅黑"/>
      <b val="1"/>
      <color rgb="001F3864"/>
      <sz val="9.5"/>
    </font>
    <font>
      <name val="微软雅黑"/>
      <b val="1"/>
      <color rgb="00595959"/>
      <sz val="9"/>
    </font>
    <font>
      <name val="Times New Roman"/>
      <sz val="10"/>
    </font>
    <font>
      <name val="微软雅黑"/>
      <sz val="10"/>
    </font>
    <font>
      <name val="微软雅黑"/>
      <color rgb="00595959"/>
      <sz val="8.5"/>
    </font>
    <font>
      <name val="微软雅黑"/>
      <b val="1"/>
      <color rgb="001F3864"/>
      <sz val="14"/>
    </font>
    <font>
      <name val="Times New Roman"/>
      <b val="1"/>
      <color rgb="001F3864"/>
      <sz val="12"/>
    </font>
    <font>
      <name val="微软雅黑"/>
      <b val="1"/>
      <color rgb="001F3864"/>
      <sz val="11"/>
    </font>
    <font>
      <name val="Times New Roman"/>
      <b val="1"/>
      <color rgb="001F3864"/>
      <sz val="16"/>
    </font>
    <font>
      <name val="微软雅黑"/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F2F5FA"/>
      </patternFill>
    </fill>
    <fill>
      <patternFill patternType="solid">
        <fgColor rgb="00EAF0F7"/>
      </patternFill>
    </fill>
  </fills>
  <borders count="3">
    <border>
      <left/>
      <right/>
      <top/>
      <bottom/>
      <diagonal/>
    </border>
    <border>
      <bottom style="thin">
        <color rgb="001B1B1B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1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10" fillId="0" borderId="0" pivotButton="0" quotePrefix="0" xfId="0"/>
    <xf numFmtId="0" fontId="11" fillId="3" borderId="2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E3F2E1"/>
        </patternFill>
      </fill>
    </dxf>
    <dxf>
      <fill>
        <patternFill patternType="solid">
          <fgColor rgb="00FBE6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" customWidth="1" min="3" max="3"/>
    <col width="12" customWidth="1" min="4" max="4"/>
    <col width="14" customWidth="1" min="5" max="5"/>
  </cols>
  <sheetData>
    <row r="1">
      <c r="A1" s="1" t="inlineStr">
        <is>
          <t>判例检测题 · 答题卡（自动判分）</t>
        </is>
      </c>
    </row>
    <row r="3">
      <c r="A3" s="2" t="inlineStr">
        <is>
          <t>姓名</t>
        </is>
      </c>
      <c r="B3" s="3" t="inlineStr"/>
      <c r="D3" s="2" t="inlineStr">
        <is>
          <t>日期</t>
        </is>
      </c>
      <c r="E3" s="3" t="inlineStr"/>
    </row>
    <row r="5">
      <c r="A5" s="4" t="inlineStr">
        <is>
          <t>一、单项选择（每题 2 分，共 60 分）——在 B 列选择 A/B/C/D</t>
        </is>
      </c>
    </row>
    <row r="6">
      <c r="A6" s="5" t="inlineStr">
        <is>
          <t>题号</t>
        </is>
      </c>
      <c r="B6" s="5" t="inlineStr">
        <is>
          <t>作答</t>
        </is>
      </c>
    </row>
    <row r="7">
      <c r="A7" s="6" t="n">
        <v>1</v>
      </c>
      <c r="B7" s="7" t="n"/>
    </row>
    <row r="8">
      <c r="A8" s="6" t="n">
        <v>2</v>
      </c>
      <c r="B8" s="7" t="n"/>
    </row>
    <row r="9">
      <c r="A9" s="6" t="n">
        <v>3</v>
      </c>
      <c r="B9" s="7" t="n"/>
    </row>
    <row r="10">
      <c r="A10" s="6" t="n">
        <v>4</v>
      </c>
      <c r="B10" s="7" t="n"/>
    </row>
    <row r="11">
      <c r="A11" s="6" t="n">
        <v>5</v>
      </c>
      <c r="B11" s="7" t="n"/>
    </row>
    <row r="12">
      <c r="A12" s="6" t="n">
        <v>6</v>
      </c>
      <c r="B12" s="7" t="n"/>
    </row>
    <row r="13">
      <c r="A13" s="6" t="n">
        <v>7</v>
      </c>
      <c r="B13" s="7" t="n"/>
    </row>
    <row r="14">
      <c r="A14" s="6" t="n">
        <v>8</v>
      </c>
      <c r="B14" s="7" t="n"/>
    </row>
    <row r="15">
      <c r="A15" s="6" t="n">
        <v>9</v>
      </c>
      <c r="B15" s="7" t="n"/>
    </row>
    <row r="16">
      <c r="A16" s="6" t="n">
        <v>10</v>
      </c>
      <c r="B16" s="7" t="n"/>
    </row>
    <row r="17">
      <c r="A17" s="6" t="n">
        <v>11</v>
      </c>
      <c r="B17" s="7" t="n"/>
    </row>
    <row r="18">
      <c r="A18" s="6" t="n">
        <v>12</v>
      </c>
      <c r="B18" s="7" t="n"/>
    </row>
    <row r="19">
      <c r="A19" s="6" t="n">
        <v>13</v>
      </c>
      <c r="B19" s="7" t="n"/>
    </row>
    <row r="20">
      <c r="A20" s="6" t="n">
        <v>14</v>
      </c>
      <c r="B20" s="7" t="n"/>
    </row>
    <row r="21">
      <c r="A21" s="6" t="n">
        <v>15</v>
      </c>
      <c r="B21" s="7" t="n"/>
    </row>
    <row r="22">
      <c r="A22" s="6" t="n">
        <v>16</v>
      </c>
      <c r="B22" s="7" t="n"/>
    </row>
    <row r="23">
      <c r="A23" s="6" t="n">
        <v>17</v>
      </c>
      <c r="B23" s="7" t="n"/>
    </row>
    <row r="24">
      <c r="A24" s="6" t="n">
        <v>18</v>
      </c>
      <c r="B24" s="7" t="n"/>
    </row>
    <row r="25">
      <c r="A25" s="6" t="n">
        <v>19</v>
      </c>
      <c r="B25" s="7" t="n"/>
    </row>
    <row r="26">
      <c r="A26" s="6" t="n">
        <v>20</v>
      </c>
      <c r="B26" s="7" t="n"/>
    </row>
    <row r="27">
      <c r="A27" s="6" t="n">
        <v>21</v>
      </c>
      <c r="B27" s="7" t="n"/>
    </row>
    <row r="28">
      <c r="A28" s="6" t="n">
        <v>22</v>
      </c>
      <c r="B28" s="7" t="n"/>
    </row>
    <row r="29">
      <c r="A29" s="6" t="n">
        <v>23</v>
      </c>
      <c r="B29" s="7" t="n"/>
    </row>
    <row r="30">
      <c r="A30" s="6" t="n">
        <v>24</v>
      </c>
      <c r="B30" s="7" t="n"/>
    </row>
    <row r="31">
      <c r="A31" s="6" t="n">
        <v>25</v>
      </c>
      <c r="B31" s="7" t="n"/>
    </row>
    <row r="32">
      <c r="A32" s="6" t="n">
        <v>26</v>
      </c>
      <c r="B32" s="7" t="n"/>
    </row>
    <row r="33">
      <c r="A33" s="6" t="n">
        <v>27</v>
      </c>
      <c r="B33" s="7" t="n"/>
    </row>
    <row r="34">
      <c r="A34" s="6" t="n">
        <v>28</v>
      </c>
      <c r="B34" s="7" t="n"/>
    </row>
    <row r="35">
      <c r="A35" s="6" t="n">
        <v>29</v>
      </c>
      <c r="B35" s="7" t="n"/>
    </row>
    <row r="36">
      <c r="A36" s="6" t="n">
        <v>30</v>
      </c>
      <c r="B36" s="7" t="n"/>
    </row>
    <row r="38">
      <c r="A38" s="4" t="inlineStr">
        <is>
          <t>二、配对（每题 1 分，共 10 分）——在 B 列选择 A–J</t>
        </is>
      </c>
    </row>
    <row r="39">
      <c r="A39" s="5" t="inlineStr">
        <is>
          <t>题号</t>
        </is>
      </c>
      <c r="B39" s="5" t="inlineStr">
        <is>
          <t>作答</t>
        </is>
      </c>
    </row>
    <row r="40">
      <c r="A40" s="6" t="n">
        <v>1</v>
      </c>
      <c r="B40" s="7" t="n"/>
    </row>
    <row r="41">
      <c r="A41" s="6" t="n">
        <v>2</v>
      </c>
      <c r="B41" s="7" t="n"/>
    </row>
    <row r="42">
      <c r="A42" s="6" t="n">
        <v>3</v>
      </c>
      <c r="B42" s="7" t="n"/>
    </row>
    <row r="43">
      <c r="A43" s="6" t="n">
        <v>4</v>
      </c>
      <c r="B43" s="7" t="n"/>
    </row>
    <row r="44">
      <c r="A44" s="6" t="n">
        <v>5</v>
      </c>
      <c r="B44" s="7" t="n"/>
    </row>
    <row r="45">
      <c r="A45" s="6" t="n">
        <v>6</v>
      </c>
      <c r="B45" s="7" t="n"/>
    </row>
    <row r="46">
      <c r="A46" s="6" t="n">
        <v>7</v>
      </c>
      <c r="B46" s="7" t="n"/>
    </row>
    <row r="47">
      <c r="A47" s="6" t="n">
        <v>8</v>
      </c>
      <c r="B47" s="7" t="n"/>
    </row>
    <row r="48">
      <c r="A48" s="6" t="n">
        <v>9</v>
      </c>
      <c r="B48" s="7" t="n"/>
    </row>
    <row r="49">
      <c r="A49" s="6" t="n">
        <v>10</v>
      </c>
      <c r="B49" s="7" t="n"/>
    </row>
    <row r="51">
      <c r="A51" s="4" t="inlineStr">
        <is>
          <t>三、判断（每题 1 分，共 10 分）——在 B 列选择 √ 或 ×</t>
        </is>
      </c>
    </row>
    <row r="52">
      <c r="A52" s="5" t="inlineStr">
        <is>
          <t>题号</t>
        </is>
      </c>
      <c r="B52" s="5" t="inlineStr">
        <is>
          <t>作答</t>
        </is>
      </c>
    </row>
    <row r="53">
      <c r="A53" s="6" t="n">
        <v>1</v>
      </c>
      <c r="B53" s="7" t="n"/>
    </row>
    <row r="54">
      <c r="A54" s="6" t="n">
        <v>2</v>
      </c>
      <c r="B54" s="7" t="n"/>
    </row>
    <row r="55">
      <c r="A55" s="6" t="n">
        <v>3</v>
      </c>
      <c r="B55" s="7" t="n"/>
    </row>
    <row r="56">
      <c r="A56" s="6" t="n">
        <v>4</v>
      </c>
      <c r="B56" s="7" t="n"/>
    </row>
    <row r="57">
      <c r="A57" s="6" t="n">
        <v>5</v>
      </c>
      <c r="B57" s="7" t="n"/>
    </row>
    <row r="58">
      <c r="A58" s="6" t="n">
        <v>6</v>
      </c>
      <c r="B58" s="7" t="n"/>
    </row>
    <row r="59">
      <c r="A59" s="6" t="n">
        <v>7</v>
      </c>
      <c r="B59" s="7" t="n"/>
    </row>
    <row r="60">
      <c r="A60" s="6" t="n">
        <v>8</v>
      </c>
      <c r="B60" s="7" t="n"/>
    </row>
    <row r="61">
      <c r="A61" s="6" t="n">
        <v>9</v>
      </c>
      <c r="B61" s="7" t="n"/>
    </row>
    <row r="62">
      <c r="A62" s="6" t="n">
        <v>10</v>
      </c>
      <c r="B62" s="7" t="n"/>
    </row>
    <row r="64">
      <c r="A64" s="4" t="inlineStr">
        <is>
          <t>四、简答（每题 10 分，共 20 分）——由教师填写得分</t>
        </is>
      </c>
    </row>
    <row r="65">
      <c r="A65" s="5" t="inlineStr">
        <is>
          <t>题号</t>
        </is>
      </c>
      <c r="B65" s="5" t="inlineStr">
        <is>
          <t>得分</t>
        </is>
      </c>
    </row>
    <row r="66">
      <c r="A66" s="8" t="inlineStr">
        <is>
          <t>简答 1</t>
        </is>
      </c>
      <c r="B66" s="7" t="n"/>
    </row>
    <row r="67">
      <c r="A67" s="8" t="inlineStr">
        <is>
          <t>简答 2</t>
        </is>
      </c>
      <c r="B67" s="7" t="n"/>
    </row>
    <row r="70">
      <c r="A70" s="9" t="inlineStr">
        <is>
          <t>填写说明：灰色边框单元格为作答区；评分页会自动计算总分与等级。判断题请用 √ 或 ×。</t>
        </is>
      </c>
    </row>
  </sheetData>
  <mergeCells count="5">
    <mergeCell ref="A38:E38"/>
    <mergeCell ref="A64:E64"/>
    <mergeCell ref="A51:E51"/>
    <mergeCell ref="A1:E1"/>
    <mergeCell ref="A5:E5"/>
  </mergeCells>
  <conditionalFormatting sqref="B7:B36">
    <cfRule type="expression" priority="1" dxfId="0" stopIfTrue="0">
      <formula>AND($B7&lt;&gt;"",$B7=答案!B7)</formula>
    </cfRule>
    <cfRule type="expression" priority="2" dxfId="1" stopIfTrue="0">
      <formula>AND($B7&lt;&gt;"",$B7&lt;&gt;答案!B7)</formula>
    </cfRule>
  </conditionalFormatting>
  <conditionalFormatting sqref="B40:B49">
    <cfRule type="expression" priority="3" dxfId="0" stopIfTrue="0">
      <formula>AND($B40&lt;&gt;"",$B40=答案!B40)</formula>
    </cfRule>
    <cfRule type="expression" priority="4" dxfId="1" stopIfTrue="0">
      <formula>AND($B40&lt;&gt;"",$B40&lt;&gt;答案!B40)</formula>
    </cfRule>
  </conditionalFormatting>
  <conditionalFormatting sqref="B53:B62">
    <cfRule type="expression" priority="5" dxfId="0" stopIfTrue="0">
      <formula>AND($B53&lt;&gt;"",$B53=答案!B53)</formula>
    </cfRule>
    <cfRule type="expression" priority="6" dxfId="1" stopIfTrue="0">
      <formula>AND($B53&lt;&gt;"",$B53&lt;&gt;答案!B53)</formula>
    </cfRule>
  </conditionalFormatting>
  <dataValidations count="4">
    <dataValidation sqref="B7:B36" showDropDown="0" showInputMessage="0" showErrorMessage="0" allowBlank="1" type="list">
      <formula1>"A,B,C,D"</formula1>
    </dataValidation>
    <dataValidation sqref="B40:B49" showDropDown="0" showInputMessage="0" showErrorMessage="0" allowBlank="1" type="list">
      <formula1>"A,B,C,D,E,F,G,H,I,J"</formula1>
    </dataValidation>
    <dataValidation sqref="B53:B62" showDropDown="0" showInputMessage="0" showErrorMessage="0" allowBlank="1" type="list">
      <formula1>"√,×"</formula1>
    </dataValidation>
    <dataValidation sqref="B66:B67" showDropDown="0" showInputMessage="0" showErrorMessage="0" allowBlank="1" error="请输入 0–10 之间的分数" type="decimal" operator="between">
      <formula1>0</formula1>
      <formula2>10</formula2>
    </dataValidation>
  </dataValidations>
  <pageMargins left="0.75" right="0.75" top="1" bottom="1" header="0.5" footer="0.5"/>
  <pageSetup orientation="portrait" fitToHeight="3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</cols>
  <sheetData>
    <row r="1" ht="11.5" customHeight="1">
      <c r="A1" s="10" t="inlineStr">
        <is>
          <t>参考答案</t>
        </is>
      </c>
    </row>
    <row r="2" ht="11.5" customHeight="1"/>
    <row r="3" ht="11.5" customHeight="1">
      <c r="A3" s="11" t="inlineStr">
        <is>
          <t>一、单项选择</t>
        </is>
      </c>
    </row>
    <row r="4" ht="11.5" customHeight="1"/>
    <row r="5" ht="11.5" customHeight="1"/>
    <row r="6" ht="11.5" customHeight="1"/>
    <row r="7" ht="11.5" customHeight="1">
      <c r="A7" t="n">
        <v>1</v>
      </c>
      <c r="B7" s="12" t="inlineStr">
        <is>
          <t>B</t>
        </is>
      </c>
    </row>
    <row r="8" ht="11.5" customHeight="1">
      <c r="A8" t="n">
        <v>2</v>
      </c>
      <c r="B8" s="12" t="inlineStr">
        <is>
          <t>A</t>
        </is>
      </c>
    </row>
    <row r="9" ht="11.5" customHeight="1">
      <c r="A9" t="n">
        <v>3</v>
      </c>
      <c r="B9" s="12" t="inlineStr">
        <is>
          <t>C</t>
        </is>
      </c>
    </row>
    <row r="10" ht="11.5" customHeight="1">
      <c r="A10" t="n">
        <v>4</v>
      </c>
      <c r="B10" s="12" t="inlineStr">
        <is>
          <t>C</t>
        </is>
      </c>
    </row>
    <row r="11" ht="11.5" customHeight="1">
      <c r="A11" t="n">
        <v>5</v>
      </c>
      <c r="B11" s="12" t="inlineStr">
        <is>
          <t>B</t>
        </is>
      </c>
    </row>
    <row r="12" ht="11.5" customHeight="1">
      <c r="A12" t="n">
        <v>6</v>
      </c>
      <c r="B12" s="12" t="inlineStr">
        <is>
          <t>D</t>
        </is>
      </c>
    </row>
    <row r="13" ht="11.5" customHeight="1">
      <c r="A13" t="n">
        <v>7</v>
      </c>
      <c r="B13" s="12" t="inlineStr">
        <is>
          <t>D</t>
        </is>
      </c>
    </row>
    <row r="14" ht="11.5" customHeight="1">
      <c r="A14" t="n">
        <v>8</v>
      </c>
      <c r="B14" s="12" t="inlineStr">
        <is>
          <t>C</t>
        </is>
      </c>
    </row>
    <row r="15" ht="11.5" customHeight="1">
      <c r="A15" t="n">
        <v>9</v>
      </c>
      <c r="B15" s="12" t="inlineStr">
        <is>
          <t>B</t>
        </is>
      </c>
    </row>
    <row r="16" ht="11.5" customHeight="1">
      <c r="A16" t="n">
        <v>10</v>
      </c>
      <c r="B16" s="12" t="inlineStr">
        <is>
          <t>A</t>
        </is>
      </c>
    </row>
    <row r="17" ht="11.5" customHeight="1">
      <c r="A17" t="n">
        <v>11</v>
      </c>
      <c r="B17" s="12" t="inlineStr">
        <is>
          <t>D</t>
        </is>
      </c>
    </row>
    <row r="18" ht="11.5" customHeight="1">
      <c r="A18" t="n">
        <v>12</v>
      </c>
      <c r="B18" s="12" t="inlineStr">
        <is>
          <t>B</t>
        </is>
      </c>
    </row>
    <row r="19" ht="11.5" customHeight="1">
      <c r="A19" t="n">
        <v>13</v>
      </c>
      <c r="B19" s="12" t="inlineStr">
        <is>
          <t>B</t>
        </is>
      </c>
    </row>
    <row r="20" ht="11.5" customHeight="1">
      <c r="A20" t="n">
        <v>14</v>
      </c>
      <c r="B20" s="12" t="inlineStr">
        <is>
          <t>C</t>
        </is>
      </c>
    </row>
    <row r="21" ht="11.5" customHeight="1">
      <c r="A21" t="n">
        <v>15</v>
      </c>
      <c r="B21" s="12" t="inlineStr">
        <is>
          <t>C</t>
        </is>
      </c>
    </row>
    <row r="22" ht="11.5" customHeight="1">
      <c r="A22" t="n">
        <v>16</v>
      </c>
      <c r="B22" s="12" t="inlineStr">
        <is>
          <t>C</t>
        </is>
      </c>
    </row>
    <row r="23" ht="11.5" customHeight="1">
      <c r="A23" t="n">
        <v>17</v>
      </c>
      <c r="B23" s="12" t="inlineStr">
        <is>
          <t>A</t>
        </is>
      </c>
    </row>
    <row r="24" ht="11.5" customHeight="1">
      <c r="A24" t="n">
        <v>18</v>
      </c>
      <c r="B24" s="12" t="inlineStr">
        <is>
          <t>A</t>
        </is>
      </c>
    </row>
    <row r="25" ht="11.5" customHeight="1">
      <c r="A25" t="n">
        <v>19</v>
      </c>
      <c r="B25" s="12" t="inlineStr">
        <is>
          <t>D</t>
        </is>
      </c>
    </row>
    <row r="26" ht="11.5" customHeight="1">
      <c r="A26" t="n">
        <v>20</v>
      </c>
      <c r="B26" s="12" t="inlineStr">
        <is>
          <t>C</t>
        </is>
      </c>
    </row>
    <row r="27" ht="11.5" customHeight="1">
      <c r="A27" t="n">
        <v>21</v>
      </c>
      <c r="B27" s="12" t="inlineStr">
        <is>
          <t>B</t>
        </is>
      </c>
    </row>
    <row r="28" ht="11.5" customHeight="1">
      <c r="A28" t="n">
        <v>22</v>
      </c>
      <c r="B28" s="12" t="inlineStr">
        <is>
          <t>D</t>
        </is>
      </c>
    </row>
    <row r="29" ht="11.5" customHeight="1">
      <c r="A29" t="n">
        <v>23</v>
      </c>
      <c r="B29" s="12" t="inlineStr">
        <is>
          <t>D</t>
        </is>
      </c>
    </row>
    <row r="30" ht="11.5" customHeight="1">
      <c r="A30" t="n">
        <v>24</v>
      </c>
      <c r="B30" s="12" t="inlineStr">
        <is>
          <t>C</t>
        </is>
      </c>
    </row>
    <row r="31" ht="11.5" customHeight="1">
      <c r="A31" t="n">
        <v>25</v>
      </c>
      <c r="B31" s="12" t="inlineStr">
        <is>
          <t>B</t>
        </is>
      </c>
    </row>
    <row r="32" ht="11.5" customHeight="1">
      <c r="A32" t="n">
        <v>26</v>
      </c>
      <c r="B32" s="12" t="inlineStr">
        <is>
          <t>D</t>
        </is>
      </c>
    </row>
    <row r="33" ht="11.5" customHeight="1">
      <c r="A33" t="n">
        <v>27</v>
      </c>
      <c r="B33" s="12" t="inlineStr">
        <is>
          <t>D</t>
        </is>
      </c>
    </row>
    <row r="34" ht="11.5" customHeight="1">
      <c r="A34" t="n">
        <v>28</v>
      </c>
      <c r="B34" s="12" t="inlineStr">
        <is>
          <t>C</t>
        </is>
      </c>
    </row>
    <row r="35" ht="11.5" customHeight="1">
      <c r="A35" t="n">
        <v>29</v>
      </c>
      <c r="B35" s="12" t="inlineStr">
        <is>
          <t>B</t>
        </is>
      </c>
    </row>
    <row r="36" ht="11.5" customHeight="1">
      <c r="A36" t="n">
        <v>30</v>
      </c>
      <c r="B36" s="12" t="inlineStr">
        <is>
          <t>A</t>
        </is>
      </c>
    </row>
    <row r="37" ht="11.5" customHeight="1"/>
    <row r="38" ht="11.5" customHeight="1">
      <c r="A38" s="11" t="inlineStr">
        <is>
          <t>二、配对</t>
        </is>
      </c>
    </row>
    <row r="39" ht="11.5" customHeight="1"/>
    <row r="40" ht="11.5" customHeight="1">
      <c r="A40" t="n">
        <v>1</v>
      </c>
      <c r="B40" s="12" t="inlineStr">
        <is>
          <t>C</t>
        </is>
      </c>
    </row>
    <row r="41" ht="11.5" customHeight="1">
      <c r="A41" t="n">
        <v>2</v>
      </c>
      <c r="B41" s="12" t="inlineStr">
        <is>
          <t>F</t>
        </is>
      </c>
    </row>
    <row r="42" ht="11.5" customHeight="1">
      <c r="A42" t="n">
        <v>3</v>
      </c>
      <c r="B42" s="12" t="inlineStr">
        <is>
          <t>A</t>
        </is>
      </c>
    </row>
    <row r="43" ht="11.5" customHeight="1">
      <c r="A43" t="n">
        <v>4</v>
      </c>
      <c r="B43" s="12" t="inlineStr">
        <is>
          <t>H</t>
        </is>
      </c>
    </row>
    <row r="44" ht="11.5" customHeight="1">
      <c r="A44" t="n">
        <v>5</v>
      </c>
      <c r="B44" s="12" t="inlineStr">
        <is>
          <t>J</t>
        </is>
      </c>
    </row>
    <row r="45" ht="11.5" customHeight="1">
      <c r="A45" t="n">
        <v>6</v>
      </c>
      <c r="B45" s="12" t="inlineStr">
        <is>
          <t>D</t>
        </is>
      </c>
    </row>
    <row r="46" ht="11.5" customHeight="1">
      <c r="A46" t="n">
        <v>7</v>
      </c>
      <c r="B46" s="12" t="inlineStr">
        <is>
          <t>I</t>
        </is>
      </c>
    </row>
    <row r="47" ht="11.5" customHeight="1">
      <c r="A47" t="n">
        <v>8</v>
      </c>
      <c r="B47" s="12" t="inlineStr">
        <is>
          <t>E</t>
        </is>
      </c>
    </row>
    <row r="48" ht="11.5" customHeight="1">
      <c r="A48" t="n">
        <v>9</v>
      </c>
      <c r="B48" s="12" t="inlineStr">
        <is>
          <t>G</t>
        </is>
      </c>
    </row>
    <row r="49" ht="11.5" customHeight="1">
      <c r="A49" t="n">
        <v>10</v>
      </c>
      <c r="B49" s="12" t="inlineStr">
        <is>
          <t>B</t>
        </is>
      </c>
    </row>
    <row r="50" ht="11.5" customHeight="1"/>
    <row r="51" ht="11.5" customHeight="1">
      <c r="A51" s="11" t="inlineStr">
        <is>
          <t>三、判断</t>
        </is>
      </c>
    </row>
    <row r="52" ht="11.5" customHeight="1"/>
    <row r="53" ht="11.5" customHeight="1">
      <c r="A53" t="n">
        <v>1</v>
      </c>
      <c r="B53" s="12" t="inlineStr">
        <is>
          <t>√</t>
        </is>
      </c>
    </row>
    <row r="54" ht="11.5" customHeight="1">
      <c r="A54" t="n">
        <v>2</v>
      </c>
      <c r="B54" s="12" t="inlineStr">
        <is>
          <t>×</t>
        </is>
      </c>
    </row>
    <row r="55" ht="11.5" customHeight="1">
      <c r="A55" t="n">
        <v>3</v>
      </c>
      <c r="B55" s="12" t="inlineStr">
        <is>
          <t>√</t>
        </is>
      </c>
    </row>
    <row r="56" ht="11.5" customHeight="1">
      <c r="A56" t="n">
        <v>4</v>
      </c>
      <c r="B56" s="12" t="inlineStr">
        <is>
          <t>×</t>
        </is>
      </c>
    </row>
    <row r="57" ht="11.5" customHeight="1">
      <c r="A57" t="n">
        <v>5</v>
      </c>
      <c r="B57" s="12" t="inlineStr">
        <is>
          <t>√</t>
        </is>
      </c>
    </row>
    <row r="58" ht="11.5" customHeight="1">
      <c r="A58" t="n">
        <v>6</v>
      </c>
      <c r="B58" s="12" t="inlineStr">
        <is>
          <t>×</t>
        </is>
      </c>
    </row>
    <row r="59" ht="11.5" customHeight="1">
      <c r="A59" t="n">
        <v>7</v>
      </c>
      <c r="B59" s="12" t="inlineStr">
        <is>
          <t>×</t>
        </is>
      </c>
    </row>
    <row r="60" ht="11.5" customHeight="1">
      <c r="A60" t="n">
        <v>8</v>
      </c>
      <c r="B60" s="12" t="inlineStr">
        <is>
          <t>×</t>
        </is>
      </c>
    </row>
    <row r="61" ht="11.5" customHeight="1">
      <c r="A61" t="n">
        <v>9</v>
      </c>
      <c r="B61" s="12" t="inlineStr">
        <is>
          <t>√</t>
        </is>
      </c>
    </row>
    <row r="62" ht="11.5" customHeight="1">
      <c r="A62" t="n">
        <v>10</v>
      </c>
      <c r="B62" s="12" t="inlineStr">
        <is>
          <t>√</t>
        </is>
      </c>
    </row>
    <row r="63" ht="11.5" customHeight="1"/>
  </sheetData>
  <mergeCells count="1">
    <mergeCell ref="A1:C1"/>
  </mergeCell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6" customWidth="1" min="3" max="3"/>
  </cols>
  <sheetData>
    <row r="1">
      <c r="A1" s="1" t="inlineStr">
        <is>
          <t>自动评分</t>
        </is>
      </c>
    </row>
    <row r="3">
      <c r="A3" s="8" t="inlineStr">
        <is>
          <t>一、单项选择（满分 60）</t>
        </is>
      </c>
      <c r="B3" s="13">
        <f>SUMPRODUCT((答题卡!$B$7:$B$36&lt;&gt;"")*(答题卡!$B$7:$B$36=答案!$B$7:$B$36))*2</f>
        <v/>
      </c>
      <c r="C3" s="9" t="inlineStr">
        <is>
          <t>每题 2 分</t>
        </is>
      </c>
    </row>
    <row r="4">
      <c r="A4" s="8" t="inlineStr">
        <is>
          <t>二、配对（满分 10）</t>
        </is>
      </c>
      <c r="B4" s="13">
        <f>SUMPRODUCT((答题卡!$B$40:$B$49&lt;&gt;"")*(答题卡!$B$40:$B$49=答案!$B$40:$B$49))*1</f>
        <v/>
      </c>
      <c r="C4" s="9" t="inlineStr">
        <is>
          <t>每题 1 分</t>
        </is>
      </c>
    </row>
    <row r="5">
      <c r="A5" s="8" t="inlineStr">
        <is>
          <t>三、判断（满分 10）</t>
        </is>
      </c>
      <c r="B5" s="13">
        <f>SUMPRODUCT((答题卡!$B$53:$B$62&lt;&gt;"")*(答题卡!$B$53:$B$62=答案!$B$53:$B$62))*1</f>
        <v/>
      </c>
      <c r="C5" s="9" t="inlineStr">
        <is>
          <t>每题 1 分</t>
        </is>
      </c>
    </row>
    <row r="6">
      <c r="A6" s="8" t="inlineStr">
        <is>
          <t>四、简答（满分 20）</t>
        </is>
      </c>
      <c r="B6" s="13">
        <f>SUM(答题卡!$B$66:$B$67)</f>
        <v/>
      </c>
      <c r="C6" s="9" t="inlineStr">
        <is>
          <t>教师手动给分</t>
        </is>
      </c>
    </row>
    <row r="8">
      <c r="A8" s="14" t="inlineStr">
        <is>
          <t>总分（满分 100）</t>
        </is>
      </c>
      <c r="B8" s="15">
        <f>SUM(B3:B6)</f>
        <v/>
      </c>
    </row>
    <row r="9">
      <c r="A9" s="14" t="inlineStr">
        <is>
          <t>等级</t>
        </is>
      </c>
      <c r="B9" s="16">
        <f>IF(B8&gt;=90,"优秀",IF(B8&gt;=80,"良好",IF(B8&gt;=60,"及格","不及格")))</f>
        <v/>
      </c>
    </row>
    <row r="11">
      <c r="A11" s="17" t="inlineStr">
        <is>
          <t>未作答/未计分的题目按 0 分计；判断题需与答案完全一致（√/×）才计分。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2026-10-23T15:01:00Z</dcterms:created>
  <dcterms:modified xmlns:dcterms="http://purl.org/dc/terms/" xmlns:xsi="http://www.w3.org/2001/XMLSchema-instance" xsi:type="dcterms:W3CDTF">2026-10-23T15:01:00Z</dcterms:modified>
</cp:coreProperties>
</file>